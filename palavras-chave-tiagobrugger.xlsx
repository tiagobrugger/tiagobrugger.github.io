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1e4cb2099fbaff3/API/SITE/"/>
    </mc:Choice>
  </mc:AlternateContent>
  <xr:revisionPtr revIDLastSave="0" documentId="8_{379BA722-8B83-45DB-9F72-A0C5FC59E1C1}" xr6:coauthVersionLast="47" xr6:coauthVersionMax="47" xr10:uidLastSave="{00000000-0000-0000-0000-000000000000}"/>
  <bookViews>
    <workbookView xWindow="5610" yWindow="0" windowWidth="20430" windowHeight="14070" tabRatio="500" xr2:uid="{00000000-000D-0000-FFFF-FFFF00000000}"/>
  </bookViews>
  <sheets>
    <sheet name="Leia-me" sheetId="1" r:id="rId1"/>
    <sheet name="Termos priorizados" sheetId="2" r:id="rId2"/>
    <sheet name="Comparar no Trends" sheetId="3" r:id="rId3"/>
  </sheets>
  <definedNames>
    <definedName name="_xlnm._FilterDatabase" localSheetId="1" hidden="1">'Termos priorizados'!$A$1:$N$25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M25" i="2"/>
  <c r="A25" i="2" s="1"/>
  <c r="M24" i="2"/>
  <c r="A24" i="2" s="1"/>
  <c r="M23" i="2"/>
  <c r="A23" i="2" s="1"/>
  <c r="M22" i="2"/>
  <c r="A22" i="2" s="1"/>
  <c r="M21" i="2"/>
  <c r="A21" i="2" s="1"/>
  <c r="M20" i="2"/>
  <c r="A20" i="2" s="1"/>
  <c r="M19" i="2"/>
  <c r="A19" i="2" s="1"/>
  <c r="M18" i="2"/>
  <c r="A18" i="2" s="1"/>
  <c r="M17" i="2"/>
  <c r="A17" i="2" s="1"/>
  <c r="M16" i="2"/>
  <c r="A16" i="2" s="1"/>
  <c r="M15" i="2"/>
  <c r="A15" i="2" s="1"/>
  <c r="M14" i="2"/>
  <c r="A14" i="2" s="1"/>
  <c r="M13" i="2"/>
  <c r="A13" i="2" s="1"/>
  <c r="M12" i="2"/>
  <c r="A12" i="2" s="1"/>
  <c r="M11" i="2"/>
  <c r="A11" i="2" s="1"/>
  <c r="M10" i="2"/>
  <c r="A10" i="2" s="1"/>
  <c r="M9" i="2"/>
  <c r="A9" i="2" s="1"/>
  <c r="M8" i="2"/>
  <c r="A8" i="2" s="1"/>
  <c r="M7" i="2"/>
  <c r="A7" i="2" s="1"/>
  <c r="M6" i="2"/>
  <c r="A6" i="2" s="1"/>
  <c r="M5" i="2"/>
  <c r="A5" i="2" s="1"/>
  <c r="M4" i="2"/>
  <c r="A4" i="2" s="1"/>
  <c r="M3" i="2"/>
  <c r="A3" i="2" s="1"/>
  <c r="M2" i="2"/>
  <c r="A2" i="2" s="1"/>
</calcChain>
</file>

<file path=xl/sharedStrings.xml><?xml version="1.0" encoding="utf-8"?>
<sst xmlns="http://schemas.openxmlformats.org/spreadsheetml/2006/main" count="269" uniqueCount="188">
  <si>
    <t>Planilha de palavras-chave: site e redes de Tiago Brugger</t>
  </si>
  <si>
    <t>O que é</t>
  </si>
  <si>
    <t>Lista priorizada de termos de licitações, tecnologia e local, com a intenção de busca, o formato de conteúdo mais adequado e o canal.</t>
  </si>
  <si>
    <t>Como a ordem foi calculada</t>
  </si>
  <si>
    <t>Pontuação = média ponderada de quatro notas de 1 a 5: relevância para o seu posicionamento, potencial de busca, pouca concorrência e aderência à marca educacional.</t>
  </si>
  <si>
    <t>As notas são julgamento meu, sem números de volume. Não tive acesso ao Planejador de Palavras-chave nem ao Trends com dados. Use como ponto de partida.</t>
  </si>
  <si>
    <t>Para reordenar, mude as notas em azul ou os pesos (células amarelas). O rank recalcula sozinho.</t>
  </si>
  <si>
    <t>Como validar</t>
  </si>
  <si>
    <t>1. Aba 'Comparar no Trends': rode as nove comparações e anote o vencedor.</t>
  </si>
  <si>
    <t>2. Depois de algumas semanas no Search Console, troque as notas de 'Potencial de busca' pelos dados reais.</t>
  </si>
  <si>
    <t>3. Coluna Status: marque A fazer, Em produção ou Publicado.</t>
  </si>
  <si>
    <t>Regra de marca</t>
  </si>
  <si>
    <t>Todo título é educacional, no papel de Sábio e Mentor. Sem chamada comercial, sem preço, sem informação interna.</t>
  </si>
  <si>
    <t>Rank</t>
  </si>
  <si>
    <t>Termo</t>
  </si>
  <si>
    <t>Frente</t>
  </si>
  <si>
    <t>Intenção de busca</t>
  </si>
  <si>
    <t>Formato sugerido</t>
  </si>
  <si>
    <t>Onde publicar</t>
  </si>
  <si>
    <t>Ideia de título</t>
  </si>
  <si>
    <t>Cuidado de marca</t>
  </si>
  <si>
    <t>Relevância (1-5)</t>
  </si>
  <si>
    <t>Potencial de busca (1-5)</t>
  </si>
  <si>
    <t>Pouca concorrência (1-5)</t>
  </si>
  <si>
    <t>Aderência à marca (1-5)</t>
  </si>
  <si>
    <t>Pontuação</t>
  </si>
  <si>
    <t>Status</t>
  </si>
  <si>
    <t>videoconferência para órgão público</t>
  </si>
  <si>
    <t>Tecnologia</t>
  </si>
  <si>
    <t>Comprador público pesquisando</t>
  </si>
  <si>
    <t>Artigo</t>
  </si>
  <si>
    <t>Site + LinkedIn</t>
  </si>
  <si>
    <t>Videoconferência em órgão público: o que definir no termo de referência</t>
  </si>
  <si>
    <t>Une as duas frentes: tecnologia e licitação</t>
  </si>
  <si>
    <t>A fazer</t>
  </si>
  <si>
    <t>ata de registro de preços</t>
  </si>
  <si>
    <t>Licitações</t>
  </si>
  <si>
    <t>Aprender: entender como funciona e quando usar</t>
  </si>
  <si>
    <t>Página fixa (guia)</t>
  </si>
  <si>
    <t>Ata de registro de preços: como funciona, na prática</t>
  </si>
  <si>
    <t>Explicar o mecanismo sem oferecer serviço</t>
  </si>
  <si>
    <t>Microsoft Teams Rooms</t>
  </si>
  <si>
    <t>Aprender: solução e requisitos</t>
  </si>
  <si>
    <t>Microsoft Teams Rooms: o que muda numa sala de reunião</t>
  </si>
  <si>
    <t>Cuidar para não virar catálogo de produto</t>
  </si>
  <si>
    <t>sala de reunião híbrida</t>
  </si>
  <si>
    <t>Aprender e planejar</t>
  </si>
  <si>
    <t>Página fixa + post</t>
  </si>
  <si>
    <t>Site + LinkedIn + Instagram</t>
  </si>
  <si>
    <t>Sala híbrida: o que precisa ter para todos serem ouvidos</t>
  </si>
  <si>
    <t>Mostrar demonstrando, não afirmando</t>
  </si>
  <si>
    <t>telefonia IP para órgão público</t>
  </si>
  <si>
    <t>Telefonia IP em órgão público: pontos do edital que geram dúvida</t>
  </si>
  <si>
    <t>Pouca concorrência educacional</t>
  </si>
  <si>
    <t>adesão a ata de registro de preços</t>
  </si>
  <si>
    <t>Dúvida prática de órgão comprador</t>
  </si>
  <si>
    <t>Artigo + post</t>
  </si>
  <si>
    <t>Órgão pode aderir a uma ata de outro órgão? O que observar</t>
  </si>
  <si>
    <t>Citar a lei só com o texto à mão</t>
  </si>
  <si>
    <t>estudo técnico preliminar (ETP)</t>
  </si>
  <si>
    <t>Aprender: elaborar o documento</t>
  </si>
  <si>
    <t>ETP na Lei 14.133: o que ele precisa responder</t>
  </si>
  <si>
    <t>Foco em erros comuns, tom de mentor</t>
  </si>
  <si>
    <t>PNCP como consultar contratações</t>
  </si>
  <si>
    <t>Tutorial de consulta</t>
  </si>
  <si>
    <t>Página fixa (passo a passo)</t>
  </si>
  <si>
    <t>Site + Instagram</t>
  </si>
  <si>
    <t>Como consultar contratações no PNCP</t>
  </si>
  <si>
    <t>Reforça o perfil de dados públicos</t>
  </si>
  <si>
    <t>termo de referência</t>
  </si>
  <si>
    <t>Aprender: elaborar e entender</t>
  </si>
  <si>
    <t>Termo de referência: como especificar sem direcionar</t>
  </si>
  <si>
    <t>Não expor edital de órgão sem confirmar a fonte</t>
  </si>
  <si>
    <t>IA aplicada ao setor público</t>
  </si>
  <si>
    <t>Curiosidade e tendência</t>
  </si>
  <si>
    <t>Artigo + newsletter</t>
  </si>
  <si>
    <t>IA no setor público: onde já ajuda no dia a dia</t>
  </si>
  <si>
    <t>Perfil 'testa, aprende e compartilha'</t>
  </si>
  <si>
    <t>carona em ata</t>
  </si>
  <si>
    <t>Dúvida em linguagem popular</t>
  </si>
  <si>
    <t>Post em pergunta</t>
  </si>
  <si>
    <t>LinkedIn + Instagram</t>
  </si>
  <si>
    <t>Como funciona a carona em ata?</t>
  </si>
  <si>
    <t>Usar o termo popular e explicar o termo formal</t>
  </si>
  <si>
    <t>compra pública de equipamentos de TI</t>
  </si>
  <si>
    <t>Órgão planejando compra</t>
  </si>
  <si>
    <t>Como planejar a compra de equipamentos de TI em órgão público</t>
  </si>
  <si>
    <t>Sem marcas e sem preço</t>
  </si>
  <si>
    <t>pedido de esclarecimento e impugnação de edital</t>
  </si>
  <si>
    <t>Dúvida técnica de quem lê o edital</t>
  </si>
  <si>
    <t>Esclarecimento ou impugnação: qual a diferença</t>
  </si>
  <si>
    <t>Sem tom de defesa de fornecedor</t>
  </si>
  <si>
    <t>atestado de capacidade técnica</t>
  </si>
  <si>
    <t>Dúvida de habilitação</t>
  </si>
  <si>
    <t>Atestado de capacidade técnica: o que o órgão pode exigir</t>
  </si>
  <si>
    <t>Educacional, nunca comercial</t>
  </si>
  <si>
    <t>Lei 14.133 pregão eletrônico</t>
  </si>
  <si>
    <t>Aprender: visão geral da lei</t>
  </si>
  <si>
    <t>Pregão eletrônico na Lei 14.133: o que mudou na prática</t>
  </si>
  <si>
    <t>Sem artigo de lei por número sem o texto à mão</t>
  </si>
  <si>
    <t>sistema de registro de preços SRP</t>
  </si>
  <si>
    <t>Aprender: sigla e conceito</t>
  </si>
  <si>
    <t>Post curto</t>
  </si>
  <si>
    <t>LinkedIn</t>
  </si>
  <si>
    <t>SRP: o que é e por que órgãos usam</t>
  </si>
  <si>
    <t>Ligar ao termo completo da ata</t>
  </si>
  <si>
    <t>automação de processos setor público</t>
  </si>
  <si>
    <t>Post + artigo</t>
  </si>
  <si>
    <t>Automação de processos: um exemplo do meu dia a dia</t>
  </si>
  <si>
    <t>Bastidor real, sem dado interno</t>
  </si>
  <si>
    <t>recurso e contrarrazões em pregão</t>
  </si>
  <si>
    <t>Aprender: fase recursal</t>
  </si>
  <si>
    <t>Post + newsletter</t>
  </si>
  <si>
    <t>Recurso em pregão: como o pregoeiro decide</t>
  </si>
  <si>
    <t>Caso só com informação pública</t>
  </si>
  <si>
    <t>comunicação unificada</t>
  </si>
  <si>
    <t>Conceito geral</t>
  </si>
  <si>
    <t>Comunicação unificada no setor público</t>
  </si>
  <si>
    <t>Termo amplo, disputado por grandes empresas</t>
  </si>
  <si>
    <t>licitações Itanhaém</t>
  </si>
  <si>
    <t>Local</t>
  </si>
  <si>
    <t>Morador ou empresa local</t>
  </si>
  <si>
    <t>Página fixa</t>
  </si>
  <si>
    <t>Site + Facebook</t>
  </si>
  <si>
    <t>Licitações em Itanhaém: como acompanhar</t>
  </si>
  <si>
    <t>Só dados públicos e fonte com data</t>
  </si>
  <si>
    <t>SBC session border controller</t>
  </si>
  <si>
    <t>Técnico buscando conceito</t>
  </si>
  <si>
    <t>Post técnico</t>
  </si>
  <si>
    <t>SBC: por que a telefonia IP do órgão precisa de um</t>
  </si>
  <si>
    <t>Público mais técnico, linguagem simples</t>
  </si>
  <si>
    <t>APAE Itanhaém</t>
  </si>
  <si>
    <t>Comunidade e apoio</t>
  </si>
  <si>
    <t>Post</t>
  </si>
  <si>
    <t>Facebook + Instagram</t>
  </si>
  <si>
    <t>APAE Itanhaém: como apoiar</t>
  </si>
  <si>
    <t>Vida comunitária, sem exposição excessiva</t>
  </si>
  <si>
    <t>como participar de licitação</t>
  </si>
  <si>
    <t>Iniciante geral</t>
  </si>
  <si>
    <t>Site</t>
  </si>
  <si>
    <t>Como participar de uma licitação pública: visão de quem conhece o processo</t>
  </si>
  <si>
    <t>Alta concorrência: só vale com ângulo próprio</t>
  </si>
  <si>
    <t>transparência Itanhaém</t>
  </si>
  <si>
    <t>Cidadão consultando</t>
  </si>
  <si>
    <t>Portal da transparência de Itanhaém: onde achar cada informação</t>
  </si>
  <si>
    <t>Tom cívico, sem posição política</t>
  </si>
  <si>
    <t>Pesos da pontuação (edite para reordenar)</t>
  </si>
  <si>
    <t>Relevância</t>
  </si>
  <si>
    <t>Potencial de busca</t>
  </si>
  <si>
    <t>Pouca concorrência</t>
  </si>
  <si>
    <t>Aderência à marca</t>
  </si>
  <si>
    <t>Soma dos pesos (deve dar 100%)</t>
  </si>
  <si>
    <t>Notas em azul são julgamento meu, sem volume real. Troque conforme o Search Console mostrar dados.</t>
  </si>
  <si>
    <t>Comparação</t>
  </si>
  <si>
    <t>Termo A</t>
  </si>
  <si>
    <t>Termo B</t>
  </si>
  <si>
    <t>Decisão que ajuda</t>
  </si>
  <si>
    <t>Resultado (preencher)</t>
  </si>
  <si>
    <t>Termo vencedor</t>
  </si>
  <si>
    <t>Nome do mecanismo</t>
  </si>
  <si>
    <t>SRP</t>
  </si>
  <si>
    <t>Título da página e do post</t>
  </si>
  <si>
    <t>Popular x formal</t>
  </si>
  <si>
    <t>Qual usar no título e qual na explicação</t>
  </si>
  <si>
    <t>Sala</t>
  </si>
  <si>
    <t>sala híbrida</t>
  </si>
  <si>
    <t>sala de videoconferência</t>
  </si>
  <si>
    <t>Termo principal da página de tecnologia</t>
  </si>
  <si>
    <t>Produto x conceito</t>
  </si>
  <si>
    <t>salas do Teams</t>
  </si>
  <si>
    <t>Como nomear a página do Teams</t>
  </si>
  <si>
    <t>Lei</t>
  </si>
  <si>
    <t>Lei 14.133</t>
  </si>
  <si>
    <t>nova lei de licitações</t>
  </si>
  <si>
    <t>Título dos artigos sobre a lei</t>
  </si>
  <si>
    <t>Documento</t>
  </si>
  <si>
    <t>estudo técnico preliminar</t>
  </si>
  <si>
    <t>ETP</t>
  </si>
  <si>
    <t>Sigla ou nome por extenso</t>
  </si>
  <si>
    <t>projeto básico</t>
  </si>
  <si>
    <t>Termo dominante hoje</t>
  </si>
  <si>
    <t>Voz</t>
  </si>
  <si>
    <t>telefonia IP</t>
  </si>
  <si>
    <t>telefone IP</t>
  </si>
  <si>
    <t>Palavra-chave da página de telefonia</t>
  </si>
  <si>
    <t>licitação Itanhaém</t>
  </si>
  <si>
    <t>Singular ou plural na página local</t>
  </si>
  <si>
    <t>Como usar: em trends.google.com.br, país Brasil, compare A e B, período de 12 meses. O Trends mostra proporção, não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</si>
</sst>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0D1B2A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4C5"/>
      </left>
      <right style="thin">
        <color rgb="FFD9D4C5"/>
      </right>
      <top style="thin">
        <color rgb="FFD9D4C5"/>
      </top>
      <bottom style="thin">
        <color rgb="FFD9D4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/>
    <xf numFmtId="9" fontId="5" fillId="3" borderId="0" xfId="0" applyNumberFormat="1" applyFont="1" applyFill="1"/>
    <xf numFmtId="9" fontId="2" fillId="0" borderId="0" xfId="0" applyNumberFormat="1" applyFont="1"/>
    <xf numFmtId="0" fontId="7" fillId="0" borderId="0" xfId="0" applyFont="1"/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7109375" defaultRowHeight="15" x14ac:dyDescent="0.25"/>
  <cols>
    <col min="1" max="1" width="11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25.5" x14ac:dyDescent="0.25">
      <c r="A4" s="2" t="s">
        <v>2</v>
      </c>
    </row>
    <row r="5" spans="1:1" x14ac:dyDescent="0.25">
      <c r="A5" s="2"/>
    </row>
    <row r="6" spans="1:1" x14ac:dyDescent="0.25">
      <c r="A6" s="3" t="s">
        <v>3</v>
      </c>
    </row>
    <row r="7" spans="1:1" ht="25.5" x14ac:dyDescent="0.25">
      <c r="A7" s="2" t="s">
        <v>4</v>
      </c>
    </row>
    <row r="8" spans="1:1" ht="25.5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3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/>
    </row>
    <row r="16" spans="1:1" x14ac:dyDescent="0.25">
      <c r="A16" s="3" t="s">
        <v>11</v>
      </c>
    </row>
    <row r="17" spans="1:1" x14ac:dyDescent="0.25">
      <c r="A17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7" customWidth="1"/>
    <col min="2" max="2" width="30" customWidth="1"/>
    <col min="3" max="3" width="12" customWidth="1"/>
    <col min="4" max="4" width="30" customWidth="1"/>
    <col min="5" max="6" width="22" customWidth="1"/>
    <col min="7" max="7" width="44" customWidth="1"/>
    <col min="8" max="8" width="38" customWidth="1"/>
    <col min="9" max="10" width="11" customWidth="1"/>
    <col min="11" max="12" width="12" customWidth="1"/>
    <col min="13" max="14" width="11" customWidth="1"/>
  </cols>
  <sheetData>
    <row r="1" spans="1:14" ht="42" customHeigh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</row>
    <row r="2" spans="1:14" ht="25.5" x14ac:dyDescent="0.25">
      <c r="A2" s="5">
        <f>RANK(M2,$M$2:$M$25)+COUNTIF($M$2:M2,M2)-1</f>
        <v>1</v>
      </c>
      <c r="B2" s="6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8">
        <v>5</v>
      </c>
      <c r="J2" s="8">
        <v>4</v>
      </c>
      <c r="K2" s="8">
        <v>4</v>
      </c>
      <c r="L2" s="8">
        <v>5</v>
      </c>
      <c r="M2" s="5">
        <f t="shared" ref="M2:M25" si="0">ROUND(I2*$B$29+J2*$B$30+K2*$B$31+L2*$B$32,2)</f>
        <v>4.5</v>
      </c>
      <c r="N2" s="5" t="s">
        <v>34</v>
      </c>
    </row>
    <row r="3" spans="1:14" ht="25.5" x14ac:dyDescent="0.25">
      <c r="A3" s="5">
        <f>RANK(M3,$M$2:$M$25)+COUNTIF($M$2:M3,M3)-1</f>
        <v>2</v>
      </c>
      <c r="B3" s="6" t="s">
        <v>35</v>
      </c>
      <c r="C3" s="7" t="s">
        <v>36</v>
      </c>
      <c r="D3" s="7" t="s">
        <v>37</v>
      </c>
      <c r="E3" s="7" t="s">
        <v>38</v>
      </c>
      <c r="F3" s="7" t="s">
        <v>31</v>
      </c>
      <c r="G3" s="7" t="s">
        <v>39</v>
      </c>
      <c r="H3" s="7" t="s">
        <v>40</v>
      </c>
      <c r="I3" s="8">
        <v>5</v>
      </c>
      <c r="J3" s="8">
        <v>5</v>
      </c>
      <c r="K3" s="8">
        <v>2</v>
      </c>
      <c r="L3" s="8">
        <v>5</v>
      </c>
      <c r="M3" s="5">
        <f t="shared" si="0"/>
        <v>4.4000000000000004</v>
      </c>
      <c r="N3" s="5" t="s">
        <v>34</v>
      </c>
    </row>
    <row r="4" spans="1:14" ht="25.5" x14ac:dyDescent="0.25">
      <c r="A4" s="5">
        <f>RANK(M4,$M$2:$M$25)+COUNTIF($M$2:M4,M4)-1</f>
        <v>3</v>
      </c>
      <c r="B4" s="6" t="s">
        <v>41</v>
      </c>
      <c r="C4" s="7" t="s">
        <v>28</v>
      </c>
      <c r="D4" s="7" t="s">
        <v>42</v>
      </c>
      <c r="E4" s="7" t="s">
        <v>38</v>
      </c>
      <c r="F4" s="7" t="s">
        <v>31</v>
      </c>
      <c r="G4" s="7" t="s">
        <v>43</v>
      </c>
      <c r="H4" s="7" t="s">
        <v>44</v>
      </c>
      <c r="I4" s="8">
        <v>5</v>
      </c>
      <c r="J4" s="8">
        <v>5</v>
      </c>
      <c r="K4" s="8">
        <v>2</v>
      </c>
      <c r="L4" s="8">
        <v>5</v>
      </c>
      <c r="M4" s="5">
        <f t="shared" si="0"/>
        <v>4.4000000000000004</v>
      </c>
      <c r="N4" s="5" t="s">
        <v>34</v>
      </c>
    </row>
    <row r="5" spans="1:14" ht="25.5" x14ac:dyDescent="0.25">
      <c r="A5" s="5">
        <f>RANK(M5,$M$2:$M$25)+COUNTIF($M$2:M5,M5)-1</f>
        <v>4</v>
      </c>
      <c r="B5" s="6" t="s">
        <v>45</v>
      </c>
      <c r="C5" s="7" t="s">
        <v>28</v>
      </c>
      <c r="D5" s="7" t="s">
        <v>46</v>
      </c>
      <c r="E5" s="7" t="s">
        <v>47</v>
      </c>
      <c r="F5" s="7" t="s">
        <v>48</v>
      </c>
      <c r="G5" s="7" t="s">
        <v>49</v>
      </c>
      <c r="H5" s="7" t="s">
        <v>50</v>
      </c>
      <c r="I5" s="8">
        <v>5</v>
      </c>
      <c r="J5" s="8">
        <v>5</v>
      </c>
      <c r="K5" s="8">
        <v>2</v>
      </c>
      <c r="L5" s="8">
        <v>5</v>
      </c>
      <c r="M5" s="5">
        <f t="shared" si="0"/>
        <v>4.4000000000000004</v>
      </c>
      <c r="N5" s="5" t="s">
        <v>34</v>
      </c>
    </row>
    <row r="6" spans="1:14" ht="25.5" x14ac:dyDescent="0.25">
      <c r="A6" s="5">
        <f>RANK(M6,$M$2:$M$25)+COUNTIF($M$2:M6,M6)-1</f>
        <v>5</v>
      </c>
      <c r="B6" s="6" t="s">
        <v>51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52</v>
      </c>
      <c r="H6" s="7" t="s">
        <v>53</v>
      </c>
      <c r="I6" s="8">
        <v>5</v>
      </c>
      <c r="J6" s="8">
        <v>3</v>
      </c>
      <c r="K6" s="8">
        <v>5</v>
      </c>
      <c r="L6" s="8">
        <v>5</v>
      </c>
      <c r="M6" s="5">
        <f t="shared" si="0"/>
        <v>4.4000000000000004</v>
      </c>
      <c r="N6" s="5" t="s">
        <v>34</v>
      </c>
    </row>
    <row r="7" spans="1:14" ht="25.5" x14ac:dyDescent="0.25">
      <c r="A7" s="5">
        <f>RANK(M7,$M$2:$M$25)+COUNTIF($M$2:M7,M7)-1</f>
        <v>6</v>
      </c>
      <c r="B7" s="6" t="s">
        <v>54</v>
      </c>
      <c r="C7" s="7" t="s">
        <v>36</v>
      </c>
      <c r="D7" s="7" t="s">
        <v>55</v>
      </c>
      <c r="E7" s="7" t="s">
        <v>56</v>
      </c>
      <c r="F7" s="7" t="s">
        <v>31</v>
      </c>
      <c r="G7" s="7" t="s">
        <v>57</v>
      </c>
      <c r="H7" s="7" t="s">
        <v>58</v>
      </c>
      <c r="I7" s="8">
        <v>5</v>
      </c>
      <c r="J7" s="8">
        <v>4</v>
      </c>
      <c r="K7" s="8">
        <v>3</v>
      </c>
      <c r="L7" s="8">
        <v>5</v>
      </c>
      <c r="M7" s="5">
        <f t="shared" si="0"/>
        <v>4.3</v>
      </c>
      <c r="N7" s="5" t="s">
        <v>34</v>
      </c>
    </row>
    <row r="8" spans="1:14" ht="25.5" x14ac:dyDescent="0.25">
      <c r="A8" s="5">
        <f>RANK(M8,$M$2:$M$25)+COUNTIF($M$2:M8,M8)-1</f>
        <v>7</v>
      </c>
      <c r="B8" s="6" t="s">
        <v>59</v>
      </c>
      <c r="C8" s="7" t="s">
        <v>36</v>
      </c>
      <c r="D8" s="7" t="s">
        <v>60</v>
      </c>
      <c r="E8" s="7" t="s">
        <v>38</v>
      </c>
      <c r="F8" s="7" t="s">
        <v>31</v>
      </c>
      <c r="G8" s="7" t="s">
        <v>61</v>
      </c>
      <c r="H8" s="7" t="s">
        <v>62</v>
      </c>
      <c r="I8" s="8">
        <v>5</v>
      </c>
      <c r="J8" s="8">
        <v>4</v>
      </c>
      <c r="K8" s="8">
        <v>3</v>
      </c>
      <c r="L8" s="8">
        <v>5</v>
      </c>
      <c r="M8" s="5">
        <f t="shared" si="0"/>
        <v>4.3</v>
      </c>
      <c r="N8" s="5" t="s">
        <v>34</v>
      </c>
    </row>
    <row r="9" spans="1:14" ht="25.5" x14ac:dyDescent="0.25">
      <c r="A9" s="5">
        <f>RANK(M9,$M$2:$M$25)+COUNTIF($M$2:M9,M9)-1</f>
        <v>8</v>
      </c>
      <c r="B9" s="6" t="s">
        <v>63</v>
      </c>
      <c r="C9" s="7" t="s">
        <v>36</v>
      </c>
      <c r="D9" s="7" t="s">
        <v>64</v>
      </c>
      <c r="E9" s="7" t="s">
        <v>65</v>
      </c>
      <c r="F9" s="7" t="s">
        <v>66</v>
      </c>
      <c r="G9" s="7" t="s">
        <v>67</v>
      </c>
      <c r="H9" s="7" t="s">
        <v>68</v>
      </c>
      <c r="I9" s="8">
        <v>5</v>
      </c>
      <c r="J9" s="8">
        <v>4</v>
      </c>
      <c r="K9" s="8">
        <v>3</v>
      </c>
      <c r="L9" s="8">
        <v>5</v>
      </c>
      <c r="M9" s="5">
        <f t="shared" si="0"/>
        <v>4.3</v>
      </c>
      <c r="N9" s="5" t="s">
        <v>34</v>
      </c>
    </row>
    <row r="10" spans="1:14" ht="25.5" x14ac:dyDescent="0.25">
      <c r="A10" s="5">
        <f>RANK(M10,$M$2:$M$25)+COUNTIF($M$2:M10,M10)-1</f>
        <v>9</v>
      </c>
      <c r="B10" s="6" t="s">
        <v>69</v>
      </c>
      <c r="C10" s="7" t="s">
        <v>36</v>
      </c>
      <c r="D10" s="7" t="s">
        <v>70</v>
      </c>
      <c r="E10" s="7" t="s">
        <v>30</v>
      </c>
      <c r="F10" s="7" t="s">
        <v>31</v>
      </c>
      <c r="G10" s="7" t="s">
        <v>71</v>
      </c>
      <c r="H10" s="7" t="s">
        <v>72</v>
      </c>
      <c r="I10" s="8">
        <v>5</v>
      </c>
      <c r="J10" s="8">
        <v>4</v>
      </c>
      <c r="K10" s="8">
        <v>2</v>
      </c>
      <c r="L10" s="8">
        <v>5</v>
      </c>
      <c r="M10" s="5">
        <f t="shared" si="0"/>
        <v>4.0999999999999996</v>
      </c>
      <c r="N10" s="5" t="s">
        <v>34</v>
      </c>
    </row>
    <row r="11" spans="1:14" x14ac:dyDescent="0.25">
      <c r="A11" s="5">
        <f>RANK(M11,$M$2:$M$25)+COUNTIF($M$2:M11,M11)-1</f>
        <v>10</v>
      </c>
      <c r="B11" s="6" t="s">
        <v>73</v>
      </c>
      <c r="C11" s="7" t="s">
        <v>28</v>
      </c>
      <c r="D11" s="7" t="s">
        <v>74</v>
      </c>
      <c r="E11" s="7" t="s">
        <v>75</v>
      </c>
      <c r="F11" s="7" t="s">
        <v>31</v>
      </c>
      <c r="G11" s="7" t="s">
        <v>76</v>
      </c>
      <c r="H11" s="7" t="s">
        <v>77</v>
      </c>
      <c r="I11" s="8">
        <v>5</v>
      </c>
      <c r="J11" s="8">
        <v>4</v>
      </c>
      <c r="K11" s="8">
        <v>2</v>
      </c>
      <c r="L11" s="8">
        <v>5</v>
      </c>
      <c r="M11" s="5">
        <f t="shared" si="0"/>
        <v>4.0999999999999996</v>
      </c>
      <c r="N11" s="5" t="s">
        <v>34</v>
      </c>
    </row>
    <row r="12" spans="1:14" ht="25.5" x14ac:dyDescent="0.25">
      <c r="A12" s="5">
        <f>RANK(M12,$M$2:$M$25)+COUNTIF($M$2:M12,M12)-1</f>
        <v>11</v>
      </c>
      <c r="B12" s="6" t="s">
        <v>78</v>
      </c>
      <c r="C12" s="7" t="s">
        <v>36</v>
      </c>
      <c r="D12" s="7" t="s">
        <v>79</v>
      </c>
      <c r="E12" s="7" t="s">
        <v>80</v>
      </c>
      <c r="F12" s="7" t="s">
        <v>81</v>
      </c>
      <c r="G12" s="7" t="s">
        <v>82</v>
      </c>
      <c r="H12" s="7" t="s">
        <v>83</v>
      </c>
      <c r="I12" s="8">
        <v>4</v>
      </c>
      <c r="J12" s="8">
        <v>4</v>
      </c>
      <c r="K12" s="8">
        <v>3</v>
      </c>
      <c r="L12" s="8">
        <v>5</v>
      </c>
      <c r="M12" s="5">
        <f t="shared" si="0"/>
        <v>4</v>
      </c>
      <c r="N12" s="5" t="s">
        <v>34</v>
      </c>
    </row>
    <row r="13" spans="1:14" ht="25.5" x14ac:dyDescent="0.25">
      <c r="A13" s="5">
        <f>RANK(M13,$M$2:$M$25)+COUNTIF($M$2:M13,M13)-1</f>
        <v>12</v>
      </c>
      <c r="B13" s="6" t="s">
        <v>84</v>
      </c>
      <c r="C13" s="7" t="s">
        <v>36</v>
      </c>
      <c r="D13" s="7" t="s">
        <v>85</v>
      </c>
      <c r="E13" s="7" t="s">
        <v>30</v>
      </c>
      <c r="F13" s="7" t="s">
        <v>31</v>
      </c>
      <c r="G13" s="7" t="s">
        <v>86</v>
      </c>
      <c r="H13" s="7" t="s">
        <v>87</v>
      </c>
      <c r="I13" s="8">
        <v>5</v>
      </c>
      <c r="J13" s="8">
        <v>3</v>
      </c>
      <c r="K13" s="8">
        <v>4</v>
      </c>
      <c r="L13" s="8">
        <v>4</v>
      </c>
      <c r="M13" s="5">
        <f t="shared" si="0"/>
        <v>4</v>
      </c>
      <c r="N13" s="5" t="s">
        <v>34</v>
      </c>
    </row>
    <row r="14" spans="1:14" ht="25.5" x14ac:dyDescent="0.25">
      <c r="A14" s="5">
        <f>RANK(M14,$M$2:$M$25)+COUNTIF($M$2:M14,M14)-1</f>
        <v>13</v>
      </c>
      <c r="B14" s="6" t="s">
        <v>88</v>
      </c>
      <c r="C14" s="7" t="s">
        <v>36</v>
      </c>
      <c r="D14" s="7" t="s">
        <v>89</v>
      </c>
      <c r="E14" s="7" t="s">
        <v>30</v>
      </c>
      <c r="F14" s="7" t="s">
        <v>31</v>
      </c>
      <c r="G14" s="7" t="s">
        <v>90</v>
      </c>
      <c r="H14" s="7" t="s">
        <v>91</v>
      </c>
      <c r="I14" s="8">
        <v>4</v>
      </c>
      <c r="J14" s="8">
        <v>3</v>
      </c>
      <c r="K14" s="8">
        <v>4</v>
      </c>
      <c r="L14" s="8">
        <v>5</v>
      </c>
      <c r="M14" s="5">
        <f t="shared" si="0"/>
        <v>3.9</v>
      </c>
      <c r="N14" s="5" t="s">
        <v>34</v>
      </c>
    </row>
    <row r="15" spans="1:14" ht="25.5" x14ac:dyDescent="0.25">
      <c r="A15" s="5">
        <f>RANK(M15,$M$2:$M$25)+COUNTIF($M$2:M15,M15)-1</f>
        <v>14</v>
      </c>
      <c r="B15" s="6" t="s">
        <v>92</v>
      </c>
      <c r="C15" s="7" t="s">
        <v>36</v>
      </c>
      <c r="D15" s="7" t="s">
        <v>93</v>
      </c>
      <c r="E15" s="7" t="s">
        <v>30</v>
      </c>
      <c r="F15" s="7" t="s">
        <v>31</v>
      </c>
      <c r="G15" s="7" t="s">
        <v>94</v>
      </c>
      <c r="H15" s="7" t="s">
        <v>95</v>
      </c>
      <c r="I15" s="8">
        <v>4</v>
      </c>
      <c r="J15" s="8">
        <v>3</v>
      </c>
      <c r="K15" s="8">
        <v>4</v>
      </c>
      <c r="L15" s="8">
        <v>5</v>
      </c>
      <c r="M15" s="5">
        <f t="shared" si="0"/>
        <v>3.9</v>
      </c>
      <c r="N15" s="5" t="s">
        <v>34</v>
      </c>
    </row>
    <row r="16" spans="1:14" ht="25.5" x14ac:dyDescent="0.25">
      <c r="A16" s="5">
        <f>RANK(M16,$M$2:$M$25)+COUNTIF($M$2:M16,M16)-1</f>
        <v>15</v>
      </c>
      <c r="B16" s="6" t="s">
        <v>96</v>
      </c>
      <c r="C16" s="7" t="s">
        <v>36</v>
      </c>
      <c r="D16" s="7" t="s">
        <v>97</v>
      </c>
      <c r="E16" s="7" t="s">
        <v>75</v>
      </c>
      <c r="F16" s="7" t="s">
        <v>31</v>
      </c>
      <c r="G16" s="7" t="s">
        <v>98</v>
      </c>
      <c r="H16" s="7" t="s">
        <v>99</v>
      </c>
      <c r="I16" s="8">
        <v>4</v>
      </c>
      <c r="J16" s="8">
        <v>5</v>
      </c>
      <c r="K16" s="8">
        <v>1</v>
      </c>
      <c r="L16" s="8">
        <v>4</v>
      </c>
      <c r="M16" s="5">
        <f t="shared" si="0"/>
        <v>3.7</v>
      </c>
      <c r="N16" s="5" t="s">
        <v>34</v>
      </c>
    </row>
    <row r="17" spans="1:14" ht="25.5" x14ac:dyDescent="0.25">
      <c r="A17" s="5">
        <f>RANK(M17,$M$2:$M$25)+COUNTIF($M$2:M17,M17)-1</f>
        <v>16</v>
      </c>
      <c r="B17" s="6" t="s">
        <v>100</v>
      </c>
      <c r="C17" s="7" t="s">
        <v>36</v>
      </c>
      <c r="D17" s="7" t="s">
        <v>101</v>
      </c>
      <c r="E17" s="7" t="s">
        <v>102</v>
      </c>
      <c r="F17" s="7" t="s">
        <v>103</v>
      </c>
      <c r="G17" s="7" t="s">
        <v>104</v>
      </c>
      <c r="H17" s="7" t="s">
        <v>105</v>
      </c>
      <c r="I17" s="8">
        <v>4</v>
      </c>
      <c r="J17" s="8">
        <v>3</v>
      </c>
      <c r="K17" s="8">
        <v>3</v>
      </c>
      <c r="L17" s="8">
        <v>5</v>
      </c>
      <c r="M17" s="5">
        <f t="shared" si="0"/>
        <v>3.7</v>
      </c>
      <c r="N17" s="5" t="s">
        <v>34</v>
      </c>
    </row>
    <row r="18" spans="1:14" ht="25.5" x14ac:dyDescent="0.25">
      <c r="A18" s="5">
        <f>RANK(M18,$M$2:$M$25)+COUNTIF($M$2:M18,M18)-1</f>
        <v>17</v>
      </c>
      <c r="B18" s="6" t="s">
        <v>106</v>
      </c>
      <c r="C18" s="7" t="s">
        <v>28</v>
      </c>
      <c r="D18" s="7" t="s">
        <v>74</v>
      </c>
      <c r="E18" s="7" t="s">
        <v>107</v>
      </c>
      <c r="F18" s="7" t="s">
        <v>103</v>
      </c>
      <c r="G18" s="7" t="s">
        <v>108</v>
      </c>
      <c r="H18" s="7" t="s">
        <v>109</v>
      </c>
      <c r="I18" s="8">
        <v>4</v>
      </c>
      <c r="J18" s="8">
        <v>3</v>
      </c>
      <c r="K18" s="8">
        <v>3</v>
      </c>
      <c r="L18" s="8">
        <v>5</v>
      </c>
      <c r="M18" s="5">
        <f t="shared" si="0"/>
        <v>3.7</v>
      </c>
      <c r="N18" s="5" t="s">
        <v>34</v>
      </c>
    </row>
    <row r="19" spans="1:14" ht="25.5" x14ac:dyDescent="0.25">
      <c r="A19" s="5">
        <f>RANK(M19,$M$2:$M$25)+COUNTIF($M$2:M19,M19)-1</f>
        <v>18</v>
      </c>
      <c r="B19" s="6" t="s">
        <v>110</v>
      </c>
      <c r="C19" s="7" t="s">
        <v>36</v>
      </c>
      <c r="D19" s="7" t="s">
        <v>111</v>
      </c>
      <c r="E19" s="7" t="s">
        <v>112</v>
      </c>
      <c r="F19" s="7" t="s">
        <v>103</v>
      </c>
      <c r="G19" s="7" t="s">
        <v>113</v>
      </c>
      <c r="H19" s="7" t="s">
        <v>114</v>
      </c>
      <c r="I19" s="8">
        <v>4</v>
      </c>
      <c r="J19" s="8">
        <v>2</v>
      </c>
      <c r="K19" s="8">
        <v>5</v>
      </c>
      <c r="L19" s="8">
        <v>4</v>
      </c>
      <c r="M19" s="5">
        <f t="shared" si="0"/>
        <v>3.6</v>
      </c>
      <c r="N19" s="5" t="s">
        <v>34</v>
      </c>
    </row>
    <row r="20" spans="1:14" ht="25.5" x14ac:dyDescent="0.25">
      <c r="A20" s="5">
        <f>RANK(M20,$M$2:$M$25)+COUNTIF($M$2:M20,M20)-1</f>
        <v>19</v>
      </c>
      <c r="B20" s="6" t="s">
        <v>115</v>
      </c>
      <c r="C20" s="7" t="s">
        <v>28</v>
      </c>
      <c r="D20" s="7" t="s">
        <v>116</v>
      </c>
      <c r="E20" s="7" t="s">
        <v>30</v>
      </c>
      <c r="F20" s="7" t="s">
        <v>31</v>
      </c>
      <c r="G20" s="7" t="s">
        <v>117</v>
      </c>
      <c r="H20" s="7" t="s">
        <v>118</v>
      </c>
      <c r="I20" s="8">
        <v>4</v>
      </c>
      <c r="J20" s="8">
        <v>4</v>
      </c>
      <c r="K20" s="8">
        <v>1</v>
      </c>
      <c r="L20" s="8">
        <v>4</v>
      </c>
      <c r="M20" s="5">
        <f t="shared" si="0"/>
        <v>3.4</v>
      </c>
      <c r="N20" s="5" t="s">
        <v>34</v>
      </c>
    </row>
    <row r="21" spans="1:14" x14ac:dyDescent="0.25">
      <c r="A21" s="5">
        <f>RANK(M21,$M$2:$M$25)+COUNTIF($M$2:M21,M21)-1</f>
        <v>20</v>
      </c>
      <c r="B21" s="6" t="s">
        <v>119</v>
      </c>
      <c r="C21" s="7" t="s">
        <v>120</v>
      </c>
      <c r="D21" s="7" t="s">
        <v>121</v>
      </c>
      <c r="E21" s="7" t="s">
        <v>122</v>
      </c>
      <c r="F21" s="7" t="s">
        <v>123</v>
      </c>
      <c r="G21" s="7" t="s">
        <v>124</v>
      </c>
      <c r="H21" s="7" t="s">
        <v>125</v>
      </c>
      <c r="I21" s="8">
        <v>4</v>
      </c>
      <c r="J21" s="8">
        <v>2</v>
      </c>
      <c r="K21" s="8">
        <v>4</v>
      </c>
      <c r="L21" s="8">
        <v>4</v>
      </c>
      <c r="M21" s="5">
        <f t="shared" si="0"/>
        <v>3.4</v>
      </c>
      <c r="N21" s="5" t="s">
        <v>34</v>
      </c>
    </row>
    <row r="22" spans="1:14" ht="25.5" x14ac:dyDescent="0.25">
      <c r="A22" s="5">
        <f>RANK(M22,$M$2:$M$25)+COUNTIF($M$2:M22,M22)-1</f>
        <v>21</v>
      </c>
      <c r="B22" s="6" t="s">
        <v>126</v>
      </c>
      <c r="C22" s="7" t="s">
        <v>28</v>
      </c>
      <c r="D22" s="7" t="s">
        <v>127</v>
      </c>
      <c r="E22" s="7" t="s">
        <v>128</v>
      </c>
      <c r="F22" s="7" t="s">
        <v>103</v>
      </c>
      <c r="G22" s="7" t="s">
        <v>129</v>
      </c>
      <c r="H22" s="7" t="s">
        <v>130</v>
      </c>
      <c r="I22" s="8">
        <v>3</v>
      </c>
      <c r="J22" s="8">
        <v>2</v>
      </c>
      <c r="K22" s="8">
        <v>5</v>
      </c>
      <c r="L22" s="8">
        <v>4</v>
      </c>
      <c r="M22" s="5">
        <f t="shared" si="0"/>
        <v>3.3</v>
      </c>
      <c r="N22" s="5" t="s">
        <v>34</v>
      </c>
    </row>
    <row r="23" spans="1:14" ht="25.5" x14ac:dyDescent="0.25">
      <c r="A23" s="5">
        <f>RANK(M23,$M$2:$M$25)+COUNTIF($M$2:M23,M23)-1</f>
        <v>22</v>
      </c>
      <c r="B23" s="6" t="s">
        <v>131</v>
      </c>
      <c r="C23" s="7" t="s">
        <v>120</v>
      </c>
      <c r="D23" s="7" t="s">
        <v>132</v>
      </c>
      <c r="E23" s="7" t="s">
        <v>133</v>
      </c>
      <c r="F23" s="7" t="s">
        <v>134</v>
      </c>
      <c r="G23" s="7" t="s">
        <v>135</v>
      </c>
      <c r="H23" s="7" t="s">
        <v>136</v>
      </c>
      <c r="I23" s="8">
        <v>3</v>
      </c>
      <c r="J23" s="8">
        <v>2</v>
      </c>
      <c r="K23" s="8">
        <v>4</v>
      </c>
      <c r="L23" s="8">
        <v>5</v>
      </c>
      <c r="M23" s="5">
        <f t="shared" si="0"/>
        <v>3.3</v>
      </c>
      <c r="N23" s="5" t="s">
        <v>34</v>
      </c>
    </row>
    <row r="24" spans="1:14" ht="25.5" x14ac:dyDescent="0.25">
      <c r="A24" s="5">
        <f>RANK(M24,$M$2:$M$25)+COUNTIF($M$2:M24,M24)-1</f>
        <v>23</v>
      </c>
      <c r="B24" s="6" t="s">
        <v>137</v>
      </c>
      <c r="C24" s="7" t="s">
        <v>36</v>
      </c>
      <c r="D24" s="7" t="s">
        <v>138</v>
      </c>
      <c r="E24" s="7" t="s">
        <v>30</v>
      </c>
      <c r="F24" s="7" t="s">
        <v>139</v>
      </c>
      <c r="G24" s="7" t="s">
        <v>140</v>
      </c>
      <c r="H24" s="7" t="s">
        <v>141</v>
      </c>
      <c r="I24" s="8">
        <v>3</v>
      </c>
      <c r="J24" s="8">
        <v>5</v>
      </c>
      <c r="K24" s="8">
        <v>1</v>
      </c>
      <c r="L24" s="8">
        <v>3</v>
      </c>
      <c r="M24" s="5">
        <f t="shared" si="0"/>
        <v>3.2</v>
      </c>
      <c r="N24" s="5" t="s">
        <v>34</v>
      </c>
    </row>
    <row r="25" spans="1:14" ht="25.5" x14ac:dyDescent="0.25">
      <c r="A25" s="5">
        <f>RANK(M25,$M$2:$M$25)+COUNTIF($M$2:M25,M25)-1</f>
        <v>24</v>
      </c>
      <c r="B25" s="6" t="s">
        <v>142</v>
      </c>
      <c r="C25" s="7" t="s">
        <v>120</v>
      </c>
      <c r="D25" s="7" t="s">
        <v>143</v>
      </c>
      <c r="E25" s="7" t="s">
        <v>122</v>
      </c>
      <c r="F25" s="7" t="s">
        <v>123</v>
      </c>
      <c r="G25" s="7" t="s">
        <v>144</v>
      </c>
      <c r="H25" s="7" t="s">
        <v>145</v>
      </c>
      <c r="I25" s="8">
        <v>3</v>
      </c>
      <c r="J25" s="8">
        <v>2</v>
      </c>
      <c r="K25" s="8">
        <v>4</v>
      </c>
      <c r="L25" s="8">
        <v>4</v>
      </c>
      <c r="M25" s="5">
        <f t="shared" si="0"/>
        <v>3.1</v>
      </c>
      <c r="N25" s="5" t="s">
        <v>34</v>
      </c>
    </row>
    <row r="28" spans="1:14" x14ac:dyDescent="0.25">
      <c r="A28" s="9" t="s">
        <v>146</v>
      </c>
    </row>
    <row r="29" spans="1:14" x14ac:dyDescent="0.25">
      <c r="A29" s="10" t="s">
        <v>147</v>
      </c>
      <c r="B29" s="11">
        <v>0.3</v>
      </c>
    </row>
    <row r="30" spans="1:14" x14ac:dyDescent="0.25">
      <c r="A30" s="10" t="s">
        <v>148</v>
      </c>
      <c r="B30" s="11">
        <v>0.3</v>
      </c>
    </row>
    <row r="31" spans="1:14" x14ac:dyDescent="0.25">
      <c r="A31" s="10" t="s">
        <v>149</v>
      </c>
      <c r="B31" s="11">
        <v>0.2</v>
      </c>
    </row>
    <row r="32" spans="1:14" x14ac:dyDescent="0.25">
      <c r="A32" s="10" t="s">
        <v>150</v>
      </c>
      <c r="B32" s="11">
        <v>0.2</v>
      </c>
    </row>
    <row r="33" spans="1:2" x14ac:dyDescent="0.25">
      <c r="A33" s="10" t="s">
        <v>151</v>
      </c>
      <c r="B33" s="12">
        <f>SUM(B29:B32)</f>
        <v>1</v>
      </c>
    </row>
    <row r="34" spans="1:2" x14ac:dyDescent="0.25">
      <c r="A34" s="13" t="s">
        <v>152</v>
      </c>
    </row>
  </sheetData>
  <autoFilter ref="A1:N2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30" customWidth="1"/>
    <col min="3" max="3" width="34" customWidth="1"/>
    <col min="4" max="4" width="40" customWidth="1"/>
    <col min="5" max="5" width="28" customWidth="1"/>
    <col min="6" max="6" width="24" customWidth="1"/>
  </cols>
  <sheetData>
    <row r="1" spans="1:6" x14ac:dyDescent="0.25">
      <c r="A1" s="4" t="s">
        <v>153</v>
      </c>
      <c r="B1" s="4" t="s">
        <v>154</v>
      </c>
      <c r="C1" s="4" t="s">
        <v>155</v>
      </c>
      <c r="D1" s="4" t="s">
        <v>156</v>
      </c>
      <c r="E1" s="4" t="s">
        <v>157</v>
      </c>
      <c r="F1" s="4" t="s">
        <v>158</v>
      </c>
    </row>
    <row r="2" spans="1:6" x14ac:dyDescent="0.25">
      <c r="A2" s="7" t="s">
        <v>159</v>
      </c>
      <c r="B2" s="7" t="s">
        <v>35</v>
      </c>
      <c r="C2" s="7" t="s">
        <v>160</v>
      </c>
      <c r="D2" s="7" t="s">
        <v>161</v>
      </c>
      <c r="E2" s="14"/>
      <c r="F2" s="14"/>
    </row>
    <row r="3" spans="1:6" x14ac:dyDescent="0.25">
      <c r="A3" s="7" t="s">
        <v>162</v>
      </c>
      <c r="B3" s="7" t="s">
        <v>78</v>
      </c>
      <c r="C3" s="7" t="s">
        <v>54</v>
      </c>
      <c r="D3" s="7" t="s">
        <v>163</v>
      </c>
      <c r="E3" s="14"/>
      <c r="F3" s="14"/>
    </row>
    <row r="4" spans="1:6" x14ac:dyDescent="0.25">
      <c r="A4" s="7" t="s">
        <v>164</v>
      </c>
      <c r="B4" s="7" t="s">
        <v>165</v>
      </c>
      <c r="C4" s="7" t="s">
        <v>166</v>
      </c>
      <c r="D4" s="7" t="s">
        <v>167</v>
      </c>
      <c r="E4" s="14"/>
      <c r="F4" s="14"/>
    </row>
    <row r="5" spans="1:6" x14ac:dyDescent="0.25">
      <c r="A5" s="7" t="s">
        <v>168</v>
      </c>
      <c r="B5" s="7" t="s">
        <v>41</v>
      </c>
      <c r="C5" s="7" t="s">
        <v>169</v>
      </c>
      <c r="D5" s="7" t="s">
        <v>170</v>
      </c>
      <c r="E5" s="14"/>
      <c r="F5" s="14"/>
    </row>
    <row r="6" spans="1:6" x14ac:dyDescent="0.25">
      <c r="A6" s="7" t="s">
        <v>171</v>
      </c>
      <c r="B6" s="7" t="s">
        <v>172</v>
      </c>
      <c r="C6" s="7" t="s">
        <v>173</v>
      </c>
      <c r="D6" s="7" t="s">
        <v>174</v>
      </c>
      <c r="E6" s="14"/>
      <c r="F6" s="14"/>
    </row>
    <row r="7" spans="1:6" x14ac:dyDescent="0.25">
      <c r="A7" s="7" t="s">
        <v>175</v>
      </c>
      <c r="B7" s="7" t="s">
        <v>176</v>
      </c>
      <c r="C7" s="7" t="s">
        <v>177</v>
      </c>
      <c r="D7" s="7" t="s">
        <v>178</v>
      </c>
      <c r="E7" s="14"/>
      <c r="F7" s="14"/>
    </row>
    <row r="8" spans="1:6" x14ac:dyDescent="0.25">
      <c r="A8" s="7" t="s">
        <v>175</v>
      </c>
      <c r="B8" s="7" t="s">
        <v>69</v>
      </c>
      <c r="C8" s="7" t="s">
        <v>179</v>
      </c>
      <c r="D8" s="7" t="s">
        <v>180</v>
      </c>
      <c r="E8" s="14"/>
      <c r="F8" s="14"/>
    </row>
    <row r="9" spans="1:6" x14ac:dyDescent="0.25">
      <c r="A9" s="7" t="s">
        <v>181</v>
      </c>
      <c r="B9" s="7" t="s">
        <v>182</v>
      </c>
      <c r="C9" s="7" t="s">
        <v>183</v>
      </c>
      <c r="D9" s="7" t="s">
        <v>184</v>
      </c>
      <c r="E9" s="14"/>
      <c r="F9" s="14"/>
    </row>
    <row r="10" spans="1:6" x14ac:dyDescent="0.25">
      <c r="A10" s="7" t="s">
        <v>120</v>
      </c>
      <c r="B10" s="7" t="s">
        <v>119</v>
      </c>
      <c r="C10" s="7" t="s">
        <v>185</v>
      </c>
      <c r="D10" s="7" t="s">
        <v>186</v>
      </c>
      <c r="E10" s="14"/>
      <c r="F10" s="14"/>
    </row>
    <row r="12" spans="1:6" x14ac:dyDescent="0.25">
      <c r="A12" s="13" t="s">
        <v>187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Leia-me</vt:lpstr>
      <vt:lpstr>Termos priorizados</vt:lpstr>
      <vt:lpstr>Comparar no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Tiago Brugger</cp:lastModifiedBy>
  <cp:revision>0</cp:revision>
  <dcterms:created xsi:type="dcterms:W3CDTF">2026-09-23T23:10:27Z</dcterms:created>
  <dcterms:modified xsi:type="dcterms:W3CDTF">2026-09-24T12:33:12Z</dcterms:modified>
  <dc:language>en-US</dc:language>
</cp:coreProperties>
</file>